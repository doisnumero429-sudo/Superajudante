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mportar_Info" sheetId="2" state="visible" r:id="rId4"/>
    <sheet name="Produtos" sheetId="3" state="visible" r:id="rId5"/>
    <sheet name="Fornecedores" sheetId="4" state="visible" r:id="rId6"/>
    <sheet name="Categorias" sheetId="5" state="visible" r:id="rId7"/>
    <sheet name="Notas_Fiscais" sheetId="6" state="visible" r:id="rId8"/>
    <sheet name="Itens_Nota" sheetId="7" state="visible" r:id="rId9"/>
    <sheet name="Movimentacoes_Estoque" sheetId="8" state="visible" r:id="rId10"/>
    <sheet name="Contas_Pagar" sheetId="9" state="visible" r:id="rId11"/>
    <sheet name="Configuraco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<sst xmlns="http://schemas.openxmlformats.org/spreadsheetml/2006/main" count="248" uniqueCount="203">
  <si>
    <t xml:space="preserve">Painel de Controle — Estoque &amp; NF-e</t>
  </si>
  <si>
    <t xml:space="preserve">Valores atualizados automaticamente a partir das demais abas</t>
  </si>
  <si>
    <t xml:space="preserve">ESTOQUE</t>
  </si>
  <si>
    <t xml:space="preserve">Produtos cadastrados (ativos)</t>
  </si>
  <si>
    <t xml:space="preserve">Produtos com estoque baixo</t>
  </si>
  <si>
    <t xml:space="preserve">Valor estimado em estoque</t>
  </si>
  <si>
    <t xml:space="preserve">NOTAS FISCAIS</t>
  </si>
  <si>
    <t xml:space="preserve">Notas importadas no mês</t>
  </si>
  <si>
    <t xml:space="preserve">CONTAS A PAGAR</t>
  </si>
  <si>
    <t xml:space="preserve">Contas vencidas</t>
  </si>
  <si>
    <t xml:space="preserve">Vencendo hoje</t>
  </si>
  <si>
    <t xml:space="preserve">Vencendo em 7 dias</t>
  </si>
  <si>
    <t xml:space="preserve">Total em aberto</t>
  </si>
  <si>
    <t xml:space="preserve">Pendentes de informação</t>
  </si>
  <si>
    <t xml:space="preserve">Fluxo de Importação de NF-e (API Meu Danfe v2)</t>
  </si>
  <si>
    <t xml:space="preserve">1. Usuário cola a chave de acesso da NF-e (44 dígitos).</t>
  </si>
  <si>
    <t xml:space="preserve">2. Backend valida: exatamente 44 números.</t>
  </si>
  <si>
    <t xml:space="preserve">3. Backend checa duplicidade na aba Notas_Fiscais (coluna chave_nfe).</t>
  </si>
  <si>
    <t xml:space="preserve">4. Se já existe → bloqueia importação duplicada.</t>
  </si>
  <si>
    <t xml:space="preserve">5. Se não existe → PUT /fd/add/{chave}  (custa R$ 0,03 se ainda não estiver na conta).</t>
  </si>
  <si>
    <t xml:space="preserve">6. Aguarda retorno. Status: WAITING | SEARCHING | NOT_FOUND | OK | ERROR.</t>
  </si>
  <si>
    <t xml:space="preserve">7. WAITING/SEARCHING → esperar ≥ 1s antes de consultar de novo.</t>
  </si>
  <si>
    <t xml:space="preserve">8. Respeitar MAX_TENTATIVAS_NFE por chave.</t>
  </si>
  <si>
    <t xml:space="preserve">9. Status OK → GET /fd/get/xml/{chave}  (download gratuito).</t>
  </si>
  <si>
    <t xml:space="preserve">10. Backend faz parser do XML → produtos, fornecedor, totais, parcelas.</t>
  </si>
  <si>
    <t xml:space="preserve">11. Abre tela de conferência → usuário confirma.</t>
  </si>
  <si>
    <t xml:space="preserve">12. Sistema lança estoque (menor unidade) e contas a pagar.</t>
  </si>
  <si>
    <t xml:space="preserve">REGRAS DE SEGURANÇA:</t>
  </si>
  <si>
    <t xml:space="preserve">• Nunca expor a Api-Key no frontend — sempre no backend/.env.</t>
  </si>
  <si>
    <t xml:space="preserve">• Máx. 10 NFs/segundo; começar com 2/segundo.</t>
  </si>
  <si>
    <t xml:space="preserve">• Nunca repetir a mesma chave em menos de 1 segundo.</t>
  </si>
  <si>
    <t xml:space="preserve">• Nunca reenviar o mesmo XML várias vezes (risco de bloqueio).</t>
  </si>
  <si>
    <t xml:space="preserve">• Baixar XML somente após status OK.</t>
  </si>
  <si>
    <t xml:space="preserve">CÁLCULO DE ESTOQUE (exemplo):</t>
  </si>
  <si>
    <t xml:space="preserve">CERV HEINEKEN PIL 0,330 GF AT 24UN — qtd nota: 6 — fator: 24 → estoque: 144 un.</t>
  </si>
  <si>
    <t xml:space="preserve">Custo unitário real = valor total da linha ÷ 144.</t>
  </si>
  <si>
    <t xml:space="preserve">id_produto</t>
  </si>
  <si>
    <t xml:space="preserve">cnpj_fornecedor</t>
  </si>
  <si>
    <t xml:space="preserve">codigo_produto_nf</t>
  </si>
  <si>
    <t xml:space="preserve">codigo_barras</t>
  </si>
  <si>
    <t xml:space="preserve">descricao_original_nf</t>
  </si>
  <si>
    <t xml:space="preserve">nome_interno</t>
  </si>
  <si>
    <t xml:space="preserve">categoria_id</t>
  </si>
  <si>
    <t xml:space="preserve">fornecedor_principal_id</t>
  </si>
  <si>
    <t xml:space="preserve">unidade_compra</t>
  </si>
  <si>
    <t xml:space="preserve">unidade_estoque</t>
  </si>
  <si>
    <t xml:space="preserve">quantidade_por_embalagem</t>
  </si>
  <si>
    <t xml:space="preserve">fator_conversao</t>
  </si>
  <si>
    <t xml:space="preserve">estoque_minimo</t>
  </si>
  <si>
    <t xml:space="preserve">estoque_atual</t>
  </si>
  <si>
    <t xml:space="preserve">ultimo_custo_unitario</t>
  </si>
  <si>
    <t xml:space="preserve">custo_medio</t>
  </si>
  <si>
    <t xml:space="preserve">ativo</t>
  </si>
  <si>
    <t xml:space="preserve">observacoes</t>
  </si>
  <si>
    <t xml:space="preserve">criado_em</t>
  </si>
  <si>
    <t xml:space="preserve">atualizado_em</t>
  </si>
  <si>
    <t xml:space="preserve">PRD-0001</t>
  </si>
  <si>
    <t xml:space="preserve">11222333000181</t>
  </si>
  <si>
    <t xml:space="preserve">7894900011517</t>
  </si>
  <si>
    <t xml:space="preserve">CERV HEINEKEN PIL 0,330 GF AT 24UN</t>
  </si>
  <si>
    <t xml:space="preserve">Cerveja Heineken Long Neck 330ml</t>
  </si>
  <si>
    <t xml:space="preserve">CAT-01</t>
  </si>
  <si>
    <t xml:space="preserve">FOR-0001</t>
  </si>
  <si>
    <t xml:space="preserve">CX24</t>
  </si>
  <si>
    <t xml:space="preserve">UN</t>
  </si>
  <si>
    <t xml:space="preserve">SIM</t>
  </si>
  <si>
    <t xml:space="preserve">Pack com 24 unidades</t>
  </si>
  <si>
    <t xml:space="preserve">2026-05-29 10:00</t>
  </si>
  <si>
    <t xml:space="preserve">id_fornecedor</t>
  </si>
  <si>
    <t xml:space="preserve">razao_social</t>
  </si>
  <si>
    <t xml:space="preserve">nome_fantasia</t>
  </si>
  <si>
    <t xml:space="preserve">cnpj</t>
  </si>
  <si>
    <t xml:space="preserve">inscricao_estadual</t>
  </si>
  <si>
    <t xml:space="preserve">telefone</t>
  </si>
  <si>
    <t xml:space="preserve">email</t>
  </si>
  <si>
    <t xml:space="preserve">endereco</t>
  </si>
  <si>
    <t xml:space="preserve">numero</t>
  </si>
  <si>
    <t xml:space="preserve">bairro</t>
  </si>
  <si>
    <t xml:space="preserve">cidade</t>
  </si>
  <si>
    <t xml:space="preserve">estado</t>
  </si>
  <si>
    <t xml:space="preserve">cep</t>
  </si>
  <si>
    <t xml:space="preserve">contato</t>
  </si>
  <si>
    <t xml:space="preserve">Distribuidora de Bebidas LTDA</t>
  </si>
  <si>
    <t xml:space="preserve">BebidasJá</t>
  </si>
  <si>
    <t xml:space="preserve">123456789</t>
  </si>
  <si>
    <t xml:space="preserve">(11) 4000-0000</t>
  </si>
  <si>
    <t xml:space="preserve">contato@bebidasja.com.br</t>
  </si>
  <si>
    <t xml:space="preserve">Rua das Indústrias</t>
  </si>
  <si>
    <t xml:space="preserve">Distrito Industrial</t>
  </si>
  <si>
    <t xml:space="preserve">São Paulo</t>
  </si>
  <si>
    <t xml:space="preserve">SP</t>
  </si>
  <si>
    <t xml:space="preserve">04001000</t>
  </si>
  <si>
    <t xml:space="preserve">João Silva</t>
  </si>
  <si>
    <t xml:space="preserve">id_categoria</t>
  </si>
  <si>
    <t xml:space="preserve">nome_categoria</t>
  </si>
  <si>
    <t xml:space="preserve">descricao</t>
  </si>
  <si>
    <t xml:space="preserve">Bebidas Alcoólicas</t>
  </si>
  <si>
    <t xml:space="preserve">Cervejas, vinhos e destilados</t>
  </si>
  <si>
    <t xml:space="preserve">CAT-02</t>
  </si>
  <si>
    <t xml:space="preserve">Bebidas Não Alcoólicas</t>
  </si>
  <si>
    <t xml:space="preserve">Refrigerantes, sucos, água</t>
  </si>
  <si>
    <t xml:space="preserve">CAT-03</t>
  </si>
  <si>
    <t xml:space="preserve">Hortifruti</t>
  </si>
  <si>
    <t xml:space="preserve">Frutas, legumes e verduras</t>
  </si>
  <si>
    <t xml:space="preserve">CAT-04</t>
  </si>
  <si>
    <t xml:space="preserve">Carnes</t>
  </si>
  <si>
    <t xml:space="preserve">Bovina, suína, aves e peixes</t>
  </si>
  <si>
    <t xml:space="preserve">CAT-05</t>
  </si>
  <si>
    <t xml:space="preserve">Mercearia</t>
  </si>
  <si>
    <t xml:space="preserve">Grãos, enlatados, temperos</t>
  </si>
  <si>
    <t xml:space="preserve">CAT-06</t>
  </si>
  <si>
    <t xml:space="preserve">Limpeza</t>
  </si>
  <si>
    <t xml:space="preserve">Produtos de higiene e limpeza</t>
  </si>
  <si>
    <t xml:space="preserve">CAT-07</t>
  </si>
  <si>
    <t xml:space="preserve">Descartáveis</t>
  </si>
  <si>
    <t xml:space="preserve">Embalagens e utensílios</t>
  </si>
  <si>
    <t xml:space="preserve">id_nota</t>
  </si>
  <si>
    <t xml:space="preserve">chave_nfe</t>
  </si>
  <si>
    <t xml:space="preserve">numero_nota</t>
  </si>
  <si>
    <t xml:space="preserve">serie</t>
  </si>
  <si>
    <t xml:space="preserve">modelo</t>
  </si>
  <si>
    <t xml:space="preserve">fornecedor_id</t>
  </si>
  <si>
    <t xml:space="preserve">data_emissao</t>
  </si>
  <si>
    <t xml:space="preserve">data_entrada</t>
  </si>
  <si>
    <t xml:space="preserve">natureza_operacao</t>
  </si>
  <si>
    <t xml:space="preserve">valor_produtos</t>
  </si>
  <si>
    <t xml:space="preserve">valor_frete</t>
  </si>
  <si>
    <t xml:space="preserve">valor_desconto</t>
  </si>
  <si>
    <t xml:space="preserve">valor_outras_despesas</t>
  </si>
  <si>
    <t xml:space="preserve">valor_total_nota</t>
  </si>
  <si>
    <t xml:space="preserve">status_api_meu_danfe</t>
  </si>
  <si>
    <t xml:space="preserve">status_importacao</t>
  </si>
  <si>
    <t xml:space="preserve">xml_original</t>
  </si>
  <si>
    <t xml:space="preserve">pdf_base64</t>
  </si>
  <si>
    <t xml:space="preserve">NF-0001</t>
  </si>
  <si>
    <t xml:space="preserve">55555555555555555555555555555555555555555550</t>
  </si>
  <si>
    <t xml:space="preserve">12345</t>
  </si>
  <si>
    <t xml:space="preserve">1</t>
  </si>
  <si>
    <t xml:space="preserve">55</t>
  </si>
  <si>
    <t xml:space="preserve">2026-05-25</t>
  </si>
  <si>
    <t xml:space="preserve">2026-05-28</t>
  </si>
  <si>
    <t xml:space="preserve">Compra para revenda</t>
  </si>
  <si>
    <t xml:space="preserve">OK</t>
  </si>
  <si>
    <t xml:space="preserve">CONFERIDA</t>
  </si>
  <si>
    <t xml:space="preserve">(xml armazenado)</t>
  </si>
  <si>
    <t xml:space="preserve">(base64)</t>
  </si>
  <si>
    <t xml:space="preserve">id_item</t>
  </si>
  <si>
    <t xml:space="preserve">numero_item</t>
  </si>
  <si>
    <t xml:space="preserve">descricao_original</t>
  </si>
  <si>
    <t xml:space="preserve">ncm</t>
  </si>
  <si>
    <t xml:space="preserve">cfop</t>
  </si>
  <si>
    <t xml:space="preserve">unidade_nf</t>
  </si>
  <si>
    <t xml:space="preserve">quantidade_nf</t>
  </si>
  <si>
    <t xml:space="preserve">valor_unitario_nf</t>
  </si>
  <si>
    <t xml:space="preserve">valor_total_nf</t>
  </si>
  <si>
    <t xml:space="preserve">unidade_tributavel</t>
  </si>
  <si>
    <t xml:space="preserve">quantidade_tributavel</t>
  </si>
  <si>
    <t xml:space="preserve">valor_unitario_tributavel</t>
  </si>
  <si>
    <t xml:space="preserve">quantidade_estoque</t>
  </si>
  <si>
    <t xml:space="preserve">custo_unitario_estoque</t>
  </si>
  <si>
    <t xml:space="preserve">status_conferencia</t>
  </si>
  <si>
    <t xml:space="preserve">id_movimentacao</t>
  </si>
  <si>
    <t xml:space="preserve">data</t>
  </si>
  <si>
    <t xml:space="preserve">tipo</t>
  </si>
  <si>
    <t xml:space="preserve">quantidade</t>
  </si>
  <si>
    <t xml:space="preserve">custo_unitario</t>
  </si>
  <si>
    <t xml:space="preserve">valor_total</t>
  </si>
  <si>
    <t xml:space="preserve">origem</t>
  </si>
  <si>
    <t xml:space="preserve">motivo</t>
  </si>
  <si>
    <t xml:space="preserve">usuario</t>
  </si>
  <si>
    <t xml:space="preserve">observacao</t>
  </si>
  <si>
    <t xml:space="preserve">id_conta</t>
  </si>
  <si>
    <t xml:space="preserve">numero_parcela</t>
  </si>
  <si>
    <t xml:space="preserve">valor</t>
  </si>
  <si>
    <t xml:space="preserve">vencimento</t>
  </si>
  <si>
    <t xml:space="preserve">forma_pagamento</t>
  </si>
  <si>
    <t xml:space="preserve">status</t>
  </si>
  <si>
    <t xml:space="preserve">data_pagamento</t>
  </si>
  <si>
    <t xml:space="preserve">CP-0001</t>
  </si>
  <si>
    <t xml:space="preserve">1/1</t>
  </si>
  <si>
    <t xml:space="preserve">NF 12345 - Distribuidora de Bebidas</t>
  </si>
  <si>
    <t xml:space="preserve">2026-06-24</t>
  </si>
  <si>
    <t xml:space="preserve">BOLETO</t>
  </si>
  <si>
    <t xml:space="preserve">ABERTO</t>
  </si>
  <si>
    <t xml:space="preserve">chave</t>
  </si>
  <si>
    <t xml:space="preserve">API_KEY_MEU_DANFE</t>
  </si>
  <si>
    <t xml:space="preserve">(definir no backend/.env — NUNCA no frontend)</t>
  </si>
  <si>
    <t xml:space="preserve">Chave da API Meu Danfe v2 (header Api-Key)</t>
  </si>
  <si>
    <t xml:space="preserve">CNPJ_RESTAURANTE</t>
  </si>
  <si>
    <t xml:space="preserve">00000000000000</t>
  </si>
  <si>
    <t xml:space="preserve">CNPJ do restaurante para validar destinatário da NF-e</t>
  </si>
  <si>
    <t xml:space="preserve">LIMITE_CONSULTAS_SEGUNDO</t>
  </si>
  <si>
    <t xml:space="preserve">2</t>
  </si>
  <si>
    <t xml:space="preserve">Consultas por segundo (iniciar em 2, máx 10)</t>
  </si>
  <si>
    <t xml:space="preserve">MAX_TENTATIVAS_NFE</t>
  </si>
  <si>
    <t xml:space="preserve">5</t>
  </si>
  <si>
    <t xml:space="preserve">Máximo de tentativas por chave antes de desistir</t>
  </si>
  <si>
    <t xml:space="preserve">INTERVALO_TENTATIVAS_MS</t>
  </si>
  <si>
    <t xml:space="preserve">1000</t>
  </si>
  <si>
    <t xml:space="preserve">Intervalo mínimo entre consultas da mesma chave (ms)</t>
  </si>
  <si>
    <t xml:space="preserve">BASE_URL_API</t>
  </si>
  <si>
    <t xml:space="preserve">https://api.meudanfe.com.br/v2</t>
  </si>
  <si>
    <t xml:space="preserve">Servidor base da API Meu Danfe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</si>
</sst>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R$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7F9"/>
        <bgColor rgb="FFFFFFFF"/>
      </patternFill>
    </fill>
    <fill>
      <patternFill patternType="solid">
        <fgColor rgb="FFFFF6D6"/>
        <bgColor rgb="FFF2F7F9"/>
      </patternFill>
    </fill>
    <fill>
      <patternFill patternType="solid">
        <fgColor rgb="FF1F4E5F"/>
        <bgColor rgb="FF44444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D6"/>
      <rgbColor rgb="FFF2F7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4" hidden="false" customHeight="true" outlineLevel="0" collapsed="false">
      <c r="B5" s="4" t="s">
        <v>3</v>
      </c>
      <c r="C5" s="5" t="n">
        <f aca="false">COUNTIF(Produtos!Q:Q,"SIM")</f>
        <v>1</v>
      </c>
    </row>
    <row r="6" customFormat="false" ht="24" hidden="false" customHeight="true" outlineLevel="0" collapsed="false">
      <c r="B6" s="4" t="s">
        <v>4</v>
      </c>
      <c r="C6" s="5" t="n">
        <f aca="false">SUMPRODUCT((Produtos!N2:N1000&lt;&gt;"")*(Produtos!N2:N1000&lt;=Produtos!M2:M1000))</f>
        <v>0</v>
      </c>
    </row>
    <row r="7" customFormat="false" ht="24" hidden="false" customHeight="true" outlineLevel="0" collapsed="false">
      <c r="B7" s="4" t="s">
        <v>5</v>
      </c>
      <c r="C7" s="6" t="n">
        <f aca="false">SUMPRODUCT(Produtos!N2:N1000,Produtos!P2:P1000)</f>
        <v>453.6</v>
      </c>
    </row>
    <row r="9" customFormat="false" ht="15" hidden="false" customHeight="false" outlineLevel="0" collapsed="false">
      <c r="B9" s="3" t="s">
        <v>6</v>
      </c>
    </row>
    <row r="10" customFormat="false" ht="24" hidden="false" customHeight="true" outlineLevel="0" collapsed="false">
      <c r="B10" s="4" t="s">
        <v>7</v>
      </c>
      <c r="C10" s="5" t="n">
        <f aca="true">SUMPRODUCT((TEXT(Notas_Fiscais!I2:I1000,"YYYYMM")=TEXT(TODAY(),"YYYYMM"))*1)</f>
        <v>1</v>
      </c>
    </row>
    <row r="12" customFormat="false" ht="15" hidden="false" customHeight="false" outlineLevel="0" collapsed="false">
      <c r="B12" s="3" t="s">
        <v>8</v>
      </c>
    </row>
    <row r="13" customFormat="false" ht="24" hidden="false" customHeight="true" outlineLevel="0" collapsed="false">
      <c r="B13" s="4" t="s">
        <v>9</v>
      </c>
      <c r="C13" s="5" t="n">
        <f aca="true">SUMPRODUCT((Contas_Pagar!J2:J1000="ABERTO")*(Contas_Pagar!H2:H1000&lt;TODAY()))</f>
        <v>0</v>
      </c>
    </row>
    <row r="14" customFormat="false" ht="24" hidden="false" customHeight="true" outlineLevel="0" collapsed="false">
      <c r="B14" s="4" t="s">
        <v>10</v>
      </c>
      <c r="C14" s="5" t="n">
        <f aca="true">SUMPRODUCT((Contas_Pagar!J2:J1000="ABERTO")*(Contas_Pagar!H2:H1000=TODAY()))</f>
        <v>0</v>
      </c>
    </row>
    <row r="15" customFormat="false" ht="24" hidden="false" customHeight="true" outlineLevel="0" collapsed="false">
      <c r="B15" s="4" t="s">
        <v>11</v>
      </c>
      <c r="C15" s="5" t="n">
        <f aca="true">SUMPRODUCT((Contas_Pagar!J2:J1000="ABERTO")*(Contas_Pagar!H2:H1000&gt;TODAY())*(Contas_Pagar!H2:H1000&lt;=TODAY()+7))</f>
        <v>0</v>
      </c>
    </row>
    <row r="16" customFormat="false" ht="24" hidden="false" customHeight="true" outlineLevel="0" collapsed="false">
      <c r="B16" s="4" t="s">
        <v>12</v>
      </c>
      <c r="C16" s="6" t="n">
        <f aca="false">SUMIF(Contas_Pagar!J2:J1000,"ABERTO",Contas_Pagar!F2:F1000)</f>
        <v>460.8</v>
      </c>
    </row>
    <row r="17" customFormat="false" ht="24" hidden="false" customHeight="true" outlineLevel="0" collapsed="false">
      <c r="B17" s="4" t="s">
        <v>13</v>
      </c>
      <c r="C17" s="5" t="n">
        <f aca="false">COUNTIF(Contas_Pagar!J2:J1000,"PENDENTE_INFO")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14</v>
      </c>
    </row>
    <row r="2" customFormat="false" ht="15" hidden="false" customHeight="false" outlineLevel="0" collapsed="false">
      <c r="B2" s="7"/>
    </row>
    <row r="3" customFormat="false" ht="15" hidden="false" customHeight="false" outlineLevel="0" collapsed="false">
      <c r="B3" s="7" t="s">
        <v>15</v>
      </c>
    </row>
    <row r="4" customFormat="false" ht="15" hidden="false" customHeight="false" outlineLevel="0" collapsed="false">
      <c r="B4" s="7" t="s">
        <v>16</v>
      </c>
    </row>
    <row r="5" customFormat="false" ht="15" hidden="false" customHeight="false" outlineLevel="0" collapsed="false">
      <c r="B5" s="7" t="s">
        <v>17</v>
      </c>
    </row>
    <row r="6" customFormat="false" ht="15" hidden="false" customHeight="false" outlineLevel="0" collapsed="false">
      <c r="B6" s="7" t="s">
        <v>18</v>
      </c>
    </row>
    <row r="7" customFormat="false" ht="15" hidden="false" customHeight="false" outlineLevel="0" collapsed="false">
      <c r="B7" s="7" t="s">
        <v>19</v>
      </c>
    </row>
    <row r="8" customFormat="false" ht="15" hidden="false" customHeight="false" outlineLevel="0" collapsed="false">
      <c r="B8" s="7" t="s">
        <v>20</v>
      </c>
    </row>
    <row r="9" customFormat="false" ht="15" hidden="false" customHeight="false" outlineLevel="0" collapsed="false">
      <c r="B9" s="7" t="s">
        <v>21</v>
      </c>
    </row>
    <row r="10" customFormat="false" ht="15" hidden="false" customHeight="false" outlineLevel="0" collapsed="false">
      <c r="B10" s="7" t="s">
        <v>22</v>
      </c>
    </row>
    <row r="11" customFormat="false" ht="15" hidden="false" customHeight="false" outlineLevel="0" collapsed="false">
      <c r="B11" s="7" t="s">
        <v>23</v>
      </c>
    </row>
    <row r="12" customFormat="false" ht="15" hidden="false" customHeight="false" outlineLevel="0" collapsed="false">
      <c r="B12" s="7" t="s">
        <v>24</v>
      </c>
    </row>
    <row r="13" customFormat="false" ht="15" hidden="false" customHeight="false" outlineLevel="0" collapsed="false">
      <c r="B13" s="7" t="s">
        <v>25</v>
      </c>
    </row>
    <row r="14" customFormat="false" ht="15" hidden="false" customHeight="false" outlineLevel="0" collapsed="false">
      <c r="B14" s="7" t="s">
        <v>26</v>
      </c>
    </row>
    <row r="15" customFormat="false" ht="15" hidden="false" customHeight="false" outlineLevel="0" collapsed="false">
      <c r="B15" s="7"/>
    </row>
    <row r="16" customFormat="false" ht="15" hidden="false" customHeight="false" outlineLevel="0" collapsed="false">
      <c r="B16" s="8" t="s">
        <v>27</v>
      </c>
    </row>
    <row r="17" customFormat="false" ht="15" hidden="false" customHeight="false" outlineLevel="0" collapsed="false">
      <c r="B17" s="7" t="s">
        <v>28</v>
      </c>
    </row>
    <row r="18" customFormat="false" ht="15" hidden="false" customHeight="false" outlineLevel="0" collapsed="false">
      <c r="B18" s="7" t="s">
        <v>29</v>
      </c>
    </row>
    <row r="19" customFormat="false" ht="15" hidden="false" customHeight="false" outlineLevel="0" collapsed="false">
      <c r="B19" s="7" t="s">
        <v>30</v>
      </c>
    </row>
    <row r="20" customFormat="false" ht="15" hidden="false" customHeight="false" outlineLevel="0" collapsed="false">
      <c r="B20" s="7" t="s">
        <v>31</v>
      </c>
    </row>
    <row r="21" customFormat="false" ht="15" hidden="false" customHeight="false" outlineLevel="0" collapsed="false">
      <c r="B21" s="7" t="s">
        <v>32</v>
      </c>
    </row>
    <row r="22" customFormat="false" ht="15" hidden="false" customHeight="false" outlineLevel="0" collapsed="false">
      <c r="B22" s="7"/>
    </row>
    <row r="23" customFormat="false" ht="15" hidden="false" customHeight="false" outlineLevel="0" collapsed="false">
      <c r="B23" s="7" t="s">
        <v>33</v>
      </c>
    </row>
    <row r="24" customFormat="false" ht="15" hidden="false" customHeight="false" outlineLevel="0" collapsed="false">
      <c r="B24" s="7" t="s">
        <v>34</v>
      </c>
    </row>
    <row r="25" customFormat="false" ht="15" hidden="false" customHeight="false" outlineLevel="0" collapsed="false">
      <c r="B25" s="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14" min="12" style="0" width="14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8"/>
    <col collapsed="false" customWidth="true" hidden="false" outlineLevel="0" max="18" min="18" style="0" width="30"/>
    <col collapsed="false" customWidth="true" hidden="false" outlineLevel="0" max="20" min="19" style="0" width="18"/>
  </cols>
  <sheetData>
    <row r="1" customFormat="false" ht="30" hidden="false" customHeight="true" outlineLevel="0" collapsed="false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  <c r="N1" s="9" t="s">
        <v>49</v>
      </c>
      <c r="O1" s="9" t="s">
        <v>50</v>
      </c>
      <c r="P1" s="9" t="s">
        <v>51</v>
      </c>
      <c r="Q1" s="9" t="s">
        <v>52</v>
      </c>
      <c r="R1" s="9" t="s">
        <v>53</v>
      </c>
      <c r="S1" s="9" t="s">
        <v>54</v>
      </c>
      <c r="T1" s="9" t="s">
        <v>55</v>
      </c>
    </row>
    <row r="2" customFormat="false" ht="15" hidden="false" customHeight="false" outlineLevel="0" collapsed="false">
      <c r="A2" s="10" t="s">
        <v>56</v>
      </c>
      <c r="B2" s="10" t="s">
        <v>57</v>
      </c>
      <c r="C2" s="10" t="s">
        <v>58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n">
        <v>24</v>
      </c>
      <c r="L2" s="10" t="n">
        <v>24</v>
      </c>
      <c r="M2" s="10" t="n">
        <v>48</v>
      </c>
      <c r="N2" s="10" t="n">
        <v>144</v>
      </c>
      <c r="O2" s="10" t="n">
        <v>3.2</v>
      </c>
      <c r="P2" s="10" t="n">
        <v>3.15</v>
      </c>
      <c r="Q2" s="10" t="s">
        <v>65</v>
      </c>
      <c r="R2" s="10" t="s">
        <v>66</v>
      </c>
      <c r="S2" s="10" t="s">
        <v>67</v>
      </c>
      <c r="T2" s="10" t="s">
        <v>67</v>
      </c>
    </row>
  </sheetData>
  <dataValidations count="1">
    <dataValidation allowBlank="true" errorStyle="stop" operator="between" showDropDown="false" showErrorMessage="false" showInputMessage="false" sqref="Q2:Q1002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1" min="10" style="0" width="20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8"/>
  </cols>
  <sheetData>
    <row r="1" customFormat="false" ht="30" hidden="false" customHeight="true" outlineLevel="0" collapsed="false">
      <c r="A1" s="9" t="s">
        <v>68</v>
      </c>
      <c r="B1" s="9" t="s">
        <v>69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9" t="s">
        <v>79</v>
      </c>
      <c r="M1" s="9" t="s">
        <v>80</v>
      </c>
      <c r="N1" s="9" t="s">
        <v>81</v>
      </c>
      <c r="O1" s="9" t="s">
        <v>53</v>
      </c>
      <c r="P1" s="9" t="s">
        <v>52</v>
      </c>
    </row>
    <row r="2" customFormat="false" ht="15" hidden="false" customHeight="false" outlineLevel="0" collapsed="false">
      <c r="A2" s="10" t="s">
        <v>62</v>
      </c>
      <c r="B2" s="10" t="s">
        <v>82</v>
      </c>
      <c r="C2" s="10" t="s">
        <v>83</v>
      </c>
      <c r="D2" s="10" t="s">
        <v>57</v>
      </c>
      <c r="E2" s="10" t="s">
        <v>84</v>
      </c>
      <c r="F2" s="10" t="s">
        <v>85</v>
      </c>
      <c r="G2" s="10" t="s">
        <v>86</v>
      </c>
      <c r="H2" s="10" t="s">
        <v>87</v>
      </c>
      <c r="I2" s="10" t="n">
        <v>1500</v>
      </c>
      <c r="J2" s="10" t="s">
        <v>88</v>
      </c>
      <c r="K2" s="10" t="s">
        <v>89</v>
      </c>
      <c r="L2" s="10" t="s">
        <v>90</v>
      </c>
      <c r="M2" s="10" t="s">
        <v>91</v>
      </c>
      <c r="N2" s="10" t="s">
        <v>92</v>
      </c>
      <c r="O2" s="10"/>
      <c r="P2" s="10" t="s">
        <v>65</v>
      </c>
    </row>
  </sheetData>
  <dataValidations count="1">
    <dataValidation allowBlank="true" errorStyle="stop" operator="between" showDropDown="false" showErrorMessage="false" showInputMessage="false" sqref="P2:P1002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8"/>
  </cols>
  <sheetData>
    <row r="1" customFormat="false" ht="30" hidden="false" customHeight="true" outlineLevel="0" collapsed="false">
      <c r="A1" s="9" t="s">
        <v>93</v>
      </c>
      <c r="B1" s="9" t="s">
        <v>94</v>
      </c>
      <c r="C1" s="9" t="s">
        <v>95</v>
      </c>
      <c r="D1" s="9" t="s">
        <v>52</v>
      </c>
    </row>
    <row r="2" customFormat="false" ht="15" hidden="false" customHeight="false" outlineLevel="0" collapsed="false">
      <c r="A2" s="10" t="s">
        <v>61</v>
      </c>
      <c r="B2" s="10" t="s">
        <v>96</v>
      </c>
      <c r="C2" s="10" t="s">
        <v>97</v>
      </c>
      <c r="D2" s="10" t="s">
        <v>65</v>
      </c>
    </row>
    <row r="3" customFormat="false" ht="15" hidden="false" customHeight="false" outlineLevel="0" collapsed="false">
      <c r="A3" s="11" t="s">
        <v>98</v>
      </c>
      <c r="B3" s="11" t="s">
        <v>99</v>
      </c>
      <c r="C3" s="11" t="s">
        <v>100</v>
      </c>
      <c r="D3" s="11" t="s">
        <v>65</v>
      </c>
    </row>
    <row r="4" customFormat="false" ht="15" hidden="false" customHeight="false" outlineLevel="0" collapsed="false">
      <c r="A4" s="10" t="s">
        <v>101</v>
      </c>
      <c r="B4" s="10" t="s">
        <v>102</v>
      </c>
      <c r="C4" s="10" t="s">
        <v>103</v>
      </c>
      <c r="D4" s="10" t="s">
        <v>65</v>
      </c>
    </row>
    <row r="5" customFormat="false" ht="15" hidden="false" customHeight="false" outlineLevel="0" collapsed="false">
      <c r="A5" s="11" t="s">
        <v>104</v>
      </c>
      <c r="B5" s="11" t="s">
        <v>105</v>
      </c>
      <c r="C5" s="11" t="s">
        <v>106</v>
      </c>
      <c r="D5" s="11" t="s">
        <v>65</v>
      </c>
    </row>
    <row r="6" customFormat="false" ht="15" hidden="false" customHeight="false" outlineLevel="0" collapsed="false">
      <c r="A6" s="10" t="s">
        <v>107</v>
      </c>
      <c r="B6" s="10" t="s">
        <v>108</v>
      </c>
      <c r="C6" s="10" t="s">
        <v>109</v>
      </c>
      <c r="D6" s="10" t="s">
        <v>65</v>
      </c>
    </row>
    <row r="7" customFormat="false" ht="15" hidden="false" customHeight="false" outlineLevel="0" collapsed="false">
      <c r="A7" s="11" t="s">
        <v>110</v>
      </c>
      <c r="B7" s="11" t="s">
        <v>111</v>
      </c>
      <c r="C7" s="11" t="s">
        <v>112</v>
      </c>
      <c r="D7" s="11" t="s">
        <v>65</v>
      </c>
    </row>
    <row r="8" customFormat="false" ht="15" hidden="false" customHeight="false" outlineLevel="0" collapsed="false">
      <c r="A8" s="10" t="s">
        <v>113</v>
      </c>
      <c r="B8" s="10" t="s">
        <v>114</v>
      </c>
      <c r="C8" s="10" t="s">
        <v>115</v>
      </c>
      <c r="D8" s="10" t="s">
        <v>65</v>
      </c>
    </row>
  </sheetData>
  <dataValidations count="1">
    <dataValidation allowBlank="true" errorStyle="stop" operator="between" showDropDown="false" showErrorMessage="false" showInputMessage="false" sqref="D2:D1008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7" min="16" style="0" width="18"/>
    <col collapsed="false" customWidth="true" hidden="false" outlineLevel="0" max="19" min="18" style="0" width="16"/>
    <col collapsed="false" customWidth="true" hidden="false" outlineLevel="0" max="20" min="20" style="0" width="28"/>
    <col collapsed="false" customWidth="true" hidden="false" outlineLevel="0" max="21" min="21" style="0" width="18"/>
  </cols>
  <sheetData>
    <row r="1" customFormat="false" ht="30" hidden="false" customHeight="true" outlineLevel="0" collapsed="false">
      <c r="A1" s="9" t="s">
        <v>116</v>
      </c>
      <c r="B1" s="9" t="s">
        <v>117</v>
      </c>
      <c r="C1" s="9" t="s">
        <v>118</v>
      </c>
      <c r="D1" s="9" t="s">
        <v>119</v>
      </c>
      <c r="E1" s="9" t="s">
        <v>120</v>
      </c>
      <c r="F1" s="9" t="s">
        <v>121</v>
      </c>
      <c r="G1" s="9" t="s">
        <v>37</v>
      </c>
      <c r="H1" s="9" t="s">
        <v>122</v>
      </c>
      <c r="I1" s="9" t="s">
        <v>123</v>
      </c>
      <c r="J1" s="9" t="s">
        <v>124</v>
      </c>
      <c r="K1" s="9" t="s">
        <v>125</v>
      </c>
      <c r="L1" s="9" t="s">
        <v>126</v>
      </c>
      <c r="M1" s="9" t="s">
        <v>127</v>
      </c>
      <c r="N1" s="9" t="s">
        <v>128</v>
      </c>
      <c r="O1" s="9" t="s">
        <v>129</v>
      </c>
      <c r="P1" s="9" t="s">
        <v>130</v>
      </c>
      <c r="Q1" s="9" t="s">
        <v>131</v>
      </c>
      <c r="R1" s="9" t="s">
        <v>132</v>
      </c>
      <c r="S1" s="9" t="s">
        <v>133</v>
      </c>
      <c r="T1" s="9" t="s">
        <v>53</v>
      </c>
      <c r="U1" s="9" t="s">
        <v>54</v>
      </c>
    </row>
    <row r="2" customFormat="false" ht="15" hidden="false" customHeight="false" outlineLevel="0" collapsed="false">
      <c r="A2" s="10" t="s">
        <v>134</v>
      </c>
      <c r="B2" s="10" t="s">
        <v>135</v>
      </c>
      <c r="C2" s="10" t="s">
        <v>136</v>
      </c>
      <c r="D2" s="10" t="s">
        <v>137</v>
      </c>
      <c r="E2" s="10" t="s">
        <v>138</v>
      </c>
      <c r="F2" s="10" t="s">
        <v>62</v>
      </c>
      <c r="G2" s="10" t="s">
        <v>57</v>
      </c>
      <c r="H2" s="10" t="s">
        <v>139</v>
      </c>
      <c r="I2" s="10" t="s">
        <v>140</v>
      </c>
      <c r="J2" s="10" t="s">
        <v>141</v>
      </c>
      <c r="K2" s="10" t="n">
        <v>460.8</v>
      </c>
      <c r="L2" s="10" t="n">
        <v>0</v>
      </c>
      <c r="M2" s="10" t="n">
        <v>0</v>
      </c>
      <c r="N2" s="10" t="n">
        <v>0</v>
      </c>
      <c r="O2" s="10" t="n">
        <v>460.8</v>
      </c>
      <c r="P2" s="10" t="s">
        <v>142</v>
      </c>
      <c r="Q2" s="10" t="s">
        <v>143</v>
      </c>
      <c r="R2" s="10" t="s">
        <v>144</v>
      </c>
      <c r="S2" s="10" t="s">
        <v>145</v>
      </c>
      <c r="T2" s="10"/>
      <c r="U2" s="10" t="s">
        <v>67</v>
      </c>
    </row>
  </sheetData>
  <dataValidations count="2">
    <dataValidation allowBlank="true" errorStyle="stop" operator="between" showDropDown="false" showErrorMessage="false" showInputMessage="false" sqref="P2:P1002" type="list">
      <formula1>"WAITING,SEARCHING,NOT_FOUND,OK,ERROR"</formula1>
      <formula2>0</formula2>
    </dataValidation>
    <dataValidation allowBlank="true" errorStyle="stop" operator="between" showDropDown="false" showErrorMessage="false" showInputMessage="false" sqref="Q2:Q1002" type="list">
      <formula1>"AGUARDANDO,CONFERINDO,CONFERIDA,LANCADA,ERRO"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38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5" min="13" style="0" width="16"/>
    <col collapsed="false" customWidth="true" hidden="false" outlineLevel="0" max="16" min="16" style="0" width="18"/>
    <col collapsed="false" customWidth="true" hidden="false" outlineLevel="0" max="17" min="17" style="0" width="20"/>
    <col collapsed="false" customWidth="true" hidden="false" outlineLevel="0" max="18" min="18" style="0" width="14"/>
    <col collapsed="false" customWidth="true" hidden="false" outlineLevel="0" max="19" min="19" style="0" width="16"/>
    <col collapsed="false" customWidth="true" hidden="false" outlineLevel="0" max="20" min="20" style="0" width="20"/>
    <col collapsed="false" customWidth="true" hidden="false" outlineLevel="0" max="21" min="21" style="0" width="12"/>
    <col collapsed="false" customWidth="true" hidden="false" outlineLevel="0" max="22" min="22" style="0" width="18"/>
  </cols>
  <sheetData>
    <row r="1" customFormat="false" ht="30" hidden="false" customHeight="true" outlineLevel="0" collapsed="false">
      <c r="A1" s="9" t="s">
        <v>146</v>
      </c>
      <c r="B1" s="9" t="s">
        <v>116</v>
      </c>
      <c r="C1" s="9" t="s">
        <v>147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148</v>
      </c>
      <c r="I1" s="9" t="s">
        <v>149</v>
      </c>
      <c r="J1" s="9" t="s">
        <v>150</v>
      </c>
      <c r="K1" s="9" t="s">
        <v>151</v>
      </c>
      <c r="L1" s="9" t="s">
        <v>152</v>
      </c>
      <c r="M1" s="9" t="s">
        <v>153</v>
      </c>
      <c r="N1" s="9" t="s">
        <v>154</v>
      </c>
      <c r="O1" s="9" t="s">
        <v>155</v>
      </c>
      <c r="P1" s="9" t="s">
        <v>156</v>
      </c>
      <c r="Q1" s="9" t="s">
        <v>157</v>
      </c>
      <c r="R1" s="9" t="s">
        <v>47</v>
      </c>
      <c r="S1" s="9" t="s">
        <v>158</v>
      </c>
      <c r="T1" s="9" t="s">
        <v>159</v>
      </c>
      <c r="U1" s="9" t="s">
        <v>42</v>
      </c>
      <c r="V1" s="9" t="s">
        <v>160</v>
      </c>
    </row>
  </sheetData>
  <dataValidations count="1">
    <dataValidation allowBlank="true" errorStyle="stop" operator="between" showDropDown="false" showErrorMessage="false" showInputMessage="false" sqref="V2:V1001" type="list">
      <formula1>"PENDENTE,CONFERIDO,PRODUTO_NOVO"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3" style="0" width="12"/>
    <col collapsed="false" customWidth="true" hidden="false" outlineLevel="0" max="8" min="6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9" t="s">
        <v>161</v>
      </c>
      <c r="B1" s="9" t="s">
        <v>162</v>
      </c>
      <c r="C1" s="9" t="s">
        <v>36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167</v>
      </c>
      <c r="I1" s="9" t="s">
        <v>116</v>
      </c>
      <c r="J1" s="9" t="s">
        <v>168</v>
      </c>
      <c r="K1" s="9" t="s">
        <v>169</v>
      </c>
      <c r="L1" s="9" t="s">
        <v>170</v>
      </c>
    </row>
  </sheetData>
  <dataValidations count="2">
    <dataValidation allowBlank="true" errorStyle="stop" operator="between" showDropDown="false" showErrorMessage="false" showInputMessage="false" sqref="D2:D1001" type="list">
      <formula1>"ENTRADA,SAIDA,AJUSTE"</formula1>
      <formula2>0</formula2>
    </dataValidation>
    <dataValidation allowBlank="true" errorStyle="stop" operator="between" showDropDown="false" showErrorMessage="false" showInputMessage="false" sqref="J2:J1001" type="list">
      <formula1>"venda,consumo interno,perda,quebra,vencimento,transferencia,ajuste manual,compra,outro"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1" min="10" style="0" width="16"/>
    <col collapsed="false" customWidth="true" hidden="false" outlineLevel="0" max="12" min="12" style="0" width="28"/>
    <col collapsed="false" customWidth="true" hidden="false" outlineLevel="0" max="14" min="13" style="0" width="18"/>
  </cols>
  <sheetData>
    <row r="1" customFormat="false" ht="30" hidden="false" customHeight="true" outlineLevel="0" collapsed="false">
      <c r="A1" s="9" t="s">
        <v>171</v>
      </c>
      <c r="B1" s="9" t="s">
        <v>116</v>
      </c>
      <c r="C1" s="9" t="s">
        <v>121</v>
      </c>
      <c r="D1" s="9" t="s">
        <v>172</v>
      </c>
      <c r="E1" s="9" t="s">
        <v>95</v>
      </c>
      <c r="F1" s="9" t="s">
        <v>173</v>
      </c>
      <c r="G1" s="9" t="s">
        <v>122</v>
      </c>
      <c r="H1" s="9" t="s">
        <v>174</v>
      </c>
      <c r="I1" s="9" t="s">
        <v>175</v>
      </c>
      <c r="J1" s="9" t="s">
        <v>176</v>
      </c>
      <c r="K1" s="9" t="s">
        <v>177</v>
      </c>
      <c r="L1" s="9" t="s">
        <v>170</v>
      </c>
      <c r="M1" s="9" t="s">
        <v>54</v>
      </c>
      <c r="N1" s="9" t="s">
        <v>55</v>
      </c>
    </row>
    <row r="2" customFormat="false" ht="15" hidden="false" customHeight="false" outlineLevel="0" collapsed="false">
      <c r="A2" s="10" t="s">
        <v>178</v>
      </c>
      <c r="B2" s="10" t="s">
        <v>134</v>
      </c>
      <c r="C2" s="10" t="s">
        <v>62</v>
      </c>
      <c r="D2" s="10" t="s">
        <v>179</v>
      </c>
      <c r="E2" s="10" t="s">
        <v>180</v>
      </c>
      <c r="F2" s="10" t="n">
        <v>460.8</v>
      </c>
      <c r="G2" s="10" t="s">
        <v>139</v>
      </c>
      <c r="H2" s="10" t="s">
        <v>181</v>
      </c>
      <c r="I2" s="10" t="s">
        <v>182</v>
      </c>
      <c r="J2" s="10" t="s">
        <v>183</v>
      </c>
      <c r="K2" s="10"/>
      <c r="L2" s="10"/>
      <c r="M2" s="10" t="s">
        <v>67</v>
      </c>
      <c r="N2" s="10" t="s">
        <v>67</v>
      </c>
    </row>
  </sheetData>
  <dataValidations count="2">
    <dataValidation allowBlank="true" errorStyle="stop" operator="between" showDropDown="false" showErrorMessage="false" showInputMessage="false" sqref="J2:J1002" type="list">
      <formula1>"ABERTO,PAGO,PENDENTE_INFO,CANCELADO"</formula1>
      <formula2>0</formula2>
    </dataValidation>
    <dataValidation allowBlank="true" errorStyle="stop" operator="between" showDropDown="false" showErrorMessage="false" showInputMessage="false" sqref="I2:I1002" type="list">
      <formula1>"BOLETO,PIX,DINHEIRO,CARTAO,TRANSFERENCIA,CHEQUE,OUTRO"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50"/>
  </cols>
  <sheetData>
    <row r="1" customFormat="false" ht="30" hidden="false" customHeight="true" outlineLevel="0" collapsed="false">
      <c r="A1" s="9" t="s">
        <v>184</v>
      </c>
      <c r="B1" s="9" t="s">
        <v>173</v>
      </c>
      <c r="C1" s="9" t="s">
        <v>95</v>
      </c>
    </row>
    <row r="2" customFormat="false" ht="15" hidden="false" customHeight="false" outlineLevel="0" collapsed="false">
      <c r="A2" s="10" t="s">
        <v>185</v>
      </c>
      <c r="B2" s="10" t="s">
        <v>186</v>
      </c>
      <c r="C2" s="10" t="s">
        <v>187</v>
      </c>
    </row>
    <row r="3" customFormat="false" ht="15" hidden="false" customHeight="false" outlineLevel="0" collapsed="false">
      <c r="A3" s="11" t="s">
        <v>188</v>
      </c>
      <c r="B3" s="11" t="s">
        <v>189</v>
      </c>
      <c r="C3" s="11" t="s">
        <v>190</v>
      </c>
    </row>
    <row r="4" customFormat="false" ht="15" hidden="false" customHeight="false" outlineLevel="0" collapsed="false">
      <c r="A4" s="10" t="s">
        <v>191</v>
      </c>
      <c r="B4" s="10" t="s">
        <v>192</v>
      </c>
      <c r="C4" s="10" t="s">
        <v>193</v>
      </c>
    </row>
    <row r="5" customFormat="false" ht="15" hidden="false" customHeight="false" outlineLevel="0" collapsed="false">
      <c r="A5" s="11" t="s">
        <v>194</v>
      </c>
      <c r="B5" s="11" t="s">
        <v>195</v>
      </c>
      <c r="C5" s="11" t="s">
        <v>196</v>
      </c>
    </row>
    <row r="6" customFormat="false" ht="15" hidden="false" customHeight="false" outlineLevel="0" collapsed="false">
      <c r="A6" s="10" t="s">
        <v>197</v>
      </c>
      <c r="B6" s="10" t="s">
        <v>198</v>
      </c>
      <c r="C6" s="10" t="s">
        <v>199</v>
      </c>
    </row>
    <row r="7" customFormat="false" ht="15" hidden="false" customHeight="false" outlineLevel="0" collapsed="false">
      <c r="A7" s="11" t="s">
        <v>200</v>
      </c>
      <c r="B7" s="11" t="s">
        <v>201</v>
      </c>
      <c r="C7" s="11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2026-05-29T16:09:18Z</dcterms:created>
  <dc:creator>openpyxl</dc:creator>
  <dc:description/>
  <dc:language>en-US</dc:language>
  <cp:lastModifiedBy/>
  <dcterms:modified xsi:type="dcterms:W3CDTF">2026-05-29T16:09:19Z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